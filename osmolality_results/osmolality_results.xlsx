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  <sheet name="Cha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006100"/>
    </font>
    <font>
      <color rgb="009C5700"/>
    </font>
    <font>
      <b val="1"/>
      <color rgb="001F4E79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Osmolality Test Results by Product</a:t>
            </a:r>
          </a:p>
        </rich>
      </tx>
    </title>
    <plotArea>
      <barChart>
        <barDir val="col"/>
        <grouping val="stacked"/>
        <ser>
          <idx val="0"/>
          <order val="0"/>
          <tx>
            <v> </v>
          </tx>
          <spPr>
            <a:noFill/>
            <a:ln>
              <a:noFill/>
              <a:prstDash val="solid"/>
            </a:ln>
          </spPr>
          <cat>
            <numRef>
              <f>'Data'!$A$2:$A$10</f>
            </numRef>
          </cat>
          <val>
            <numRef>
              <f>'Data'!$J$2:$J$10</f>
            </numRef>
          </val>
        </ser>
        <ser>
          <idx val="1"/>
          <order val="1"/>
          <tx>
            <v>Rango de aceptación</v>
          </tx>
          <spPr>
            <a:solidFill>
              <a:srgbClr val="9DC3E6"/>
            </a:solidFill>
            <a:ln>
              <a:solidFill>
                <a:srgbClr val="5B9BD5"/>
              </a:solidFill>
              <a:prstDash val="solid"/>
            </a:ln>
          </spPr>
          <cat>
            <numRef>
              <f>'Data'!$A$2:$A$10</f>
            </numRef>
          </cat>
          <val>
            <numRef>
              <f>'Data'!$K$2:$K$10</f>
            </numRef>
          </val>
        </ser>
        <gapWidth val="150"/>
        <overlap val="100"/>
        <axId val="10"/>
        <axId val="100"/>
      </barChart>
      <scatterChart>
        <ser>
          <idx val="2"/>
          <order val="2"/>
          <tx>
            <v>Lote 1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ED7D31"/>
              </a:solidFill>
              <a:ln>
                <a:solidFill>
                  <a:srgbClr val="C55A11"/>
                </a:solidFill>
                <a:prstDash val="solid"/>
              </a:ln>
            </spPr>
          </marker>
          <xVal>
            <numRef>
              <f>'Data'!$L$2:$L$10</f>
            </numRef>
          </xVal>
          <yVal>
            <numRef>
              <f>'Data'!$M$2:$M$10</f>
            </numRef>
          </yVal>
        </ser>
        <ser>
          <idx val="3"/>
          <order val="3"/>
          <tx>
            <v>Lote 2</v>
          </tx>
          <spPr>
            <a:ln>
              <a:noFill/>
              <a:prstDash val="solid"/>
            </a:ln>
          </spPr>
          <marker>
            <symbol val="circle"/>
            <size val="7"/>
            <spPr>
              <a:solidFill>
                <a:srgbClr val="70AD47"/>
              </a:solidFill>
              <a:ln>
                <a:solidFill>
                  <a:srgbClr val="548235"/>
                </a:solidFill>
                <a:prstDash val="solid"/>
              </a:ln>
            </spPr>
          </marker>
          <xVal>
            <numRef>
              <f>'Data'!$L$2:$L$10</f>
            </numRef>
          </xVal>
          <yVal>
            <numRef>
              <f>'Data'!$N$2:$N$10</f>
            </numRef>
          </yVal>
        </ser>
        <ser>
          <idx val="4"/>
          <order val="4"/>
          <tx>
            <v>Valor teórico estimado</v>
          </tx>
          <spPr>
            <a:ln>
              <a:noFill/>
              <a:prstDash val="solid"/>
            </a:ln>
          </spPr>
          <marker>
            <symbol val="star"/>
            <size val="10"/>
            <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spPr>
          </marker>
          <xVal>
            <numRef>
              <f>'Data'!$L$2:$L$10</f>
            </numRef>
          </xVal>
          <yVal>
            <numRef>
              <f>'Data'!$O$2:$O$10</f>
            </numRef>
          </yVal>
        </ser>
        <axId val="10"/>
        <axId val="20"/>
      </scatte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Laboratorio/Producto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620"/>
          <min val="20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Osmolalidad (mOsm/kg)</a:t>
                </a:r>
              </a:p>
            </rich>
          </tx>
        </title>
        <majorTickMark val="none"/>
        <minorTickMark val="none"/>
        <crossAx val="10"/>
        <majorUnit val="25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9715500" cy="5524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Osmolality Test — Summary</t>
        </is>
      </c>
    </row>
    <row r="3">
      <c r="A3" t="inlineStr">
        <is>
          <t>All products with a specification range are within limits for both lots.</t>
        </is>
      </c>
    </row>
    <row r="4">
      <c r="A4" t="inlineStr">
        <is>
          <t>DO8 has no specification (lotes ~573–579; asterisk at 574). DO9 (Laboratorio K) has asterisk-only value at 288 mOsm/kg.</t>
        </is>
      </c>
    </row>
    <row r="6">
      <c r="A6" s="2" t="inlineStr">
        <is>
          <t>Contents</t>
        </is>
      </c>
    </row>
    <row r="7">
      <c r="A7" t="inlineStr">
        <is>
          <t>• Sheet 'Data': raw results + native Excel combo chart</t>
        </is>
      </c>
    </row>
    <row r="8">
      <c r="A8" t="inlineStr">
        <is>
          <t>• Sheet 'Chart': high-resolution Excel-style chart image</t>
        </is>
      </c>
    </row>
    <row r="9">
      <c r="A9" t="inlineStr">
        <is>
          <t>• Companion PNG file for presentations / reports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  <col width="22" customWidth="1" min="9" max="9"/>
    <col hidden="1" width="14" customWidth="1" min="10" max="10"/>
    <col hidden="1" width="14" customWidth="1" min="11" max="11"/>
    <col hidden="1" width="10" customWidth="1" min="12" max="12"/>
    <col hidden="1" width="12" customWidth="1" min="13" max="13"/>
    <col hidden="1" width="12" customWidth="1" min="14" max="14"/>
    <col hidden="1" width="12" customWidth="1" min="15" max="15"/>
  </cols>
  <sheetData>
    <row r="1">
      <c r="A1" s="3" t="inlineStr">
        <is>
          <t>Product</t>
        </is>
      </c>
      <c r="B1" s="3" t="inlineStr">
        <is>
          <t>Laboratorio</t>
        </is>
      </c>
      <c r="C1" s="3" t="inlineStr">
        <is>
          <t>Spec Min (mOsm/kg)</t>
        </is>
      </c>
      <c r="D1" s="3" t="inlineStr">
        <is>
          <t>Spec Max (mOsm/kg)</t>
        </is>
      </c>
      <c r="E1" s="3" t="inlineStr">
        <is>
          <t>Lote 1 (mOsm/kg)</t>
        </is>
      </c>
      <c r="F1" s="3" t="inlineStr">
        <is>
          <t>Lote 2 (mOsm/kg)</t>
        </is>
      </c>
      <c r="G1" s="3" t="inlineStr">
        <is>
          <t>Asterisk (mOsm/kg)</t>
        </is>
      </c>
      <c r="H1" s="3" t="inlineStr">
        <is>
          <t>Lote 1 Status</t>
        </is>
      </c>
      <c r="I1" s="3" t="inlineStr">
        <is>
          <t>Lote 2 Status</t>
        </is>
      </c>
      <c r="J1" s="3" t="inlineStr">
        <is>
          <t>Base (hidden)</t>
        </is>
      </c>
      <c r="K1" s="3" t="inlineStr">
        <is>
          <t>Range Height</t>
        </is>
      </c>
      <c r="L1" s="3" t="inlineStr">
        <is>
          <t>X Index</t>
        </is>
      </c>
      <c r="M1" s="3" t="inlineStr">
        <is>
          <t>Lote 1 Y</t>
        </is>
      </c>
      <c r="N1" s="3" t="inlineStr">
        <is>
          <t>Lote 2 Y</t>
        </is>
      </c>
      <c r="O1" s="3" t="inlineStr">
        <is>
          <t>Asterisk Y</t>
        </is>
      </c>
    </row>
    <row r="2">
      <c r="A2" s="4" t="inlineStr">
        <is>
          <t>DO1</t>
        </is>
      </c>
      <c r="B2" s="4" t="inlineStr">
        <is>
          <t>Laboratorio B</t>
        </is>
      </c>
      <c r="C2" s="4" t="n">
        <v>280</v>
      </c>
      <c r="D2" s="4" t="n">
        <v>320</v>
      </c>
      <c r="E2" s="4" t="n">
        <v>282</v>
      </c>
      <c r="F2" s="4" t="n">
        <v>280</v>
      </c>
      <c r="G2" s="4" t="inlineStr">
        <is>
          <t>—</t>
        </is>
      </c>
      <c r="H2" s="5" t="inlineStr">
        <is>
          <t>Pass</t>
        </is>
      </c>
      <c r="I2" s="5" t="inlineStr">
        <is>
          <t>Pass</t>
        </is>
      </c>
      <c r="J2" s="4" t="n">
        <v>280</v>
      </c>
      <c r="K2" s="4" t="n">
        <v>40</v>
      </c>
      <c r="L2" s="4" t="n">
        <v>1</v>
      </c>
      <c r="M2" s="4" t="n">
        <v>282</v>
      </c>
      <c r="N2" s="4" t="n">
        <v>280</v>
      </c>
      <c r="O2" s="4" t="n"/>
    </row>
    <row r="3">
      <c r="A3" s="4" t="inlineStr">
        <is>
          <t>DO2</t>
        </is>
      </c>
      <c r="B3" s="4" t="inlineStr">
        <is>
          <t>Laboratorio E</t>
        </is>
      </c>
      <c r="C3" s="4" t="n">
        <v>240</v>
      </c>
      <c r="D3" s="4" t="n">
        <v>340</v>
      </c>
      <c r="E3" s="4" t="n">
        <v>286</v>
      </c>
      <c r="F3" s="4" t="n">
        <v>283</v>
      </c>
      <c r="G3" s="4" t="inlineStr">
        <is>
          <t>—</t>
        </is>
      </c>
      <c r="H3" s="5" t="inlineStr">
        <is>
          <t>Pass</t>
        </is>
      </c>
      <c r="I3" s="5" t="inlineStr">
        <is>
          <t>Pass</t>
        </is>
      </c>
      <c r="J3" s="4" t="n">
        <v>240</v>
      </c>
      <c r="K3" s="4" t="n">
        <v>100</v>
      </c>
      <c r="L3" s="4" t="n">
        <v>2</v>
      </c>
      <c r="M3" s="4" t="n">
        <v>286</v>
      </c>
      <c r="N3" s="4" t="n">
        <v>283</v>
      </c>
      <c r="O3" s="4" t="n"/>
    </row>
    <row r="4">
      <c r="A4" s="4" t="inlineStr">
        <is>
          <t>DO3</t>
        </is>
      </c>
      <c r="B4" s="4" t="inlineStr">
        <is>
          <t>Laboratorio F</t>
        </is>
      </c>
      <c r="C4" s="4" t="n">
        <v>250</v>
      </c>
      <c r="D4" s="4" t="n">
        <v>350</v>
      </c>
      <c r="E4" s="4" t="n">
        <v>280</v>
      </c>
      <c r="F4" s="4" t="n">
        <v>281</v>
      </c>
      <c r="G4" s="4" t="inlineStr">
        <is>
          <t>—</t>
        </is>
      </c>
      <c r="H4" s="5" t="inlineStr">
        <is>
          <t>Pass</t>
        </is>
      </c>
      <c r="I4" s="5" t="inlineStr">
        <is>
          <t>Pass</t>
        </is>
      </c>
      <c r="J4" s="4" t="n">
        <v>250</v>
      </c>
      <c r="K4" s="4" t="n">
        <v>100</v>
      </c>
      <c r="L4" s="4" t="n">
        <v>3</v>
      </c>
      <c r="M4" s="4" t="n">
        <v>280</v>
      </c>
      <c r="N4" s="4" t="n">
        <v>281</v>
      </c>
      <c r="O4" s="4" t="n"/>
    </row>
    <row r="5">
      <c r="A5" s="4" t="inlineStr">
        <is>
          <t>DO4</t>
        </is>
      </c>
      <c r="B5" s="4" t="inlineStr">
        <is>
          <t>Laboratorio G</t>
        </is>
      </c>
      <c r="C5" s="4" t="n">
        <v>260</v>
      </c>
      <c r="D5" s="4" t="n">
        <v>320</v>
      </c>
      <c r="E5" s="4" t="n">
        <v>281</v>
      </c>
      <c r="F5" s="4" t="n">
        <v>276</v>
      </c>
      <c r="G5" s="4" t="inlineStr">
        <is>
          <t>—</t>
        </is>
      </c>
      <c r="H5" s="5" t="inlineStr">
        <is>
          <t>Pass</t>
        </is>
      </c>
      <c r="I5" s="5" t="inlineStr">
        <is>
          <t>Pass</t>
        </is>
      </c>
      <c r="J5" s="4" t="n">
        <v>260</v>
      </c>
      <c r="K5" s="4" t="n">
        <v>60</v>
      </c>
      <c r="L5" s="4" t="n">
        <v>4</v>
      </c>
      <c r="M5" s="4" t="n">
        <v>281</v>
      </c>
      <c r="N5" s="4" t="n">
        <v>276</v>
      </c>
      <c r="O5" s="4" t="n"/>
    </row>
    <row r="6">
      <c r="A6" s="4" t="inlineStr">
        <is>
          <t>DO5</t>
        </is>
      </c>
      <c r="B6" s="4" t="inlineStr">
        <is>
          <t>Laboratorio G</t>
        </is>
      </c>
      <c r="C6" s="4" t="n">
        <v>260</v>
      </c>
      <c r="D6" s="4" t="n">
        <v>320</v>
      </c>
      <c r="E6" s="4" t="n">
        <v>276</v>
      </c>
      <c r="F6" s="4" t="n">
        <v>275</v>
      </c>
      <c r="G6" s="4" t="inlineStr">
        <is>
          <t>—</t>
        </is>
      </c>
      <c r="H6" s="5" t="inlineStr">
        <is>
          <t>Pass</t>
        </is>
      </c>
      <c r="I6" s="5" t="inlineStr">
        <is>
          <t>Pass</t>
        </is>
      </c>
      <c r="J6" s="4" t="n">
        <v>260</v>
      </c>
      <c r="K6" s="4" t="n">
        <v>60</v>
      </c>
      <c r="L6" s="4" t="n">
        <v>5</v>
      </c>
      <c r="M6" s="4" t="n">
        <v>276</v>
      </c>
      <c r="N6" s="4" t="n">
        <v>275</v>
      </c>
      <c r="O6" s="4" t="n"/>
    </row>
    <row r="7">
      <c r="A7" s="4" t="inlineStr">
        <is>
          <t>DO6</t>
        </is>
      </c>
      <c r="B7" s="4" t="inlineStr">
        <is>
          <t>Laboratorio H</t>
        </is>
      </c>
      <c r="C7" s="4" t="n">
        <v>240</v>
      </c>
      <c r="D7" s="4" t="n">
        <v>370</v>
      </c>
      <c r="E7" s="4" t="n">
        <v>287</v>
      </c>
      <c r="F7" s="4" t="n">
        <v>280</v>
      </c>
      <c r="G7" s="4" t="inlineStr">
        <is>
          <t>—</t>
        </is>
      </c>
      <c r="H7" s="5" t="inlineStr">
        <is>
          <t>Pass</t>
        </is>
      </c>
      <c r="I7" s="5" t="inlineStr">
        <is>
          <t>Pass</t>
        </is>
      </c>
      <c r="J7" s="4" t="n">
        <v>240</v>
      </c>
      <c r="K7" s="4" t="n">
        <v>130</v>
      </c>
      <c r="L7" s="4" t="n">
        <v>6</v>
      </c>
      <c r="M7" s="4" t="n">
        <v>287</v>
      </c>
      <c r="N7" s="4" t="n">
        <v>280</v>
      </c>
      <c r="O7" s="4" t="n"/>
    </row>
    <row r="8">
      <c r="A8" s="4" t="inlineStr">
        <is>
          <t>DO7</t>
        </is>
      </c>
      <c r="B8" s="4" t="inlineStr">
        <is>
          <t>Laboratorio I</t>
        </is>
      </c>
      <c r="C8" s="4" t="n">
        <v>270</v>
      </c>
      <c r="D8" s="4" t="n">
        <v>330</v>
      </c>
      <c r="E8" s="4" t="n">
        <v>310</v>
      </c>
      <c r="F8" s="4" t="n">
        <v>312</v>
      </c>
      <c r="G8" s="4" t="inlineStr">
        <is>
          <t>—</t>
        </is>
      </c>
      <c r="H8" s="5" t="inlineStr">
        <is>
          <t>Pass</t>
        </is>
      </c>
      <c r="I8" s="5" t="inlineStr">
        <is>
          <t>Pass</t>
        </is>
      </c>
      <c r="J8" s="4" t="n">
        <v>270</v>
      </c>
      <c r="K8" s="4" t="n">
        <v>60</v>
      </c>
      <c r="L8" s="4" t="n">
        <v>7</v>
      </c>
      <c r="M8" s="4" t="n">
        <v>310</v>
      </c>
      <c r="N8" s="4" t="n">
        <v>312</v>
      </c>
      <c r="O8" s="4" t="n"/>
    </row>
    <row r="9">
      <c r="A9" s="4" t="inlineStr">
        <is>
          <t>DO8</t>
        </is>
      </c>
      <c r="B9" s="4" t="inlineStr">
        <is>
          <t>Laboratorio J</t>
        </is>
      </c>
      <c r="C9" s="4" t="inlineStr">
        <is>
          <t>—</t>
        </is>
      </c>
      <c r="D9" s="4" t="inlineStr">
        <is>
          <t>—</t>
        </is>
      </c>
      <c r="E9" s="4" t="n">
        <v>573</v>
      </c>
      <c r="F9" s="4" t="n">
        <v>579</v>
      </c>
      <c r="G9" s="4" t="n">
        <v>574</v>
      </c>
      <c r="H9" s="6" t="inlineStr">
        <is>
          <t>N/A (no specification)</t>
        </is>
      </c>
      <c r="I9" s="6" t="inlineStr">
        <is>
          <t>N/A (no specification)</t>
        </is>
      </c>
      <c r="J9" s="4" t="n">
        <v>0</v>
      </c>
      <c r="K9" s="4" t="n">
        <v>0</v>
      </c>
      <c r="L9" s="4" t="n">
        <v>8</v>
      </c>
      <c r="M9" s="4" t="n">
        <v>573</v>
      </c>
      <c r="N9" s="4" t="n">
        <v>579</v>
      </c>
      <c r="O9" s="4" t="n">
        <v>574</v>
      </c>
    </row>
    <row r="10">
      <c r="A10" s="4" t="inlineStr">
        <is>
          <t>DO9</t>
        </is>
      </c>
      <c r="B10" s="4" t="inlineStr">
        <is>
          <t>Laboratorio K</t>
        </is>
      </c>
      <c r="C10" s="4" t="inlineStr">
        <is>
          <t>—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n">
        <v>288</v>
      </c>
      <c r="H10" s="6" t="inlineStr">
        <is>
          <t>N/A (sin lote)</t>
        </is>
      </c>
      <c r="I10" s="6" t="inlineStr">
        <is>
          <t>N/A (sin lote)</t>
        </is>
      </c>
      <c r="J10" s="4" t="n">
        <v>0</v>
      </c>
      <c r="K10" s="4" t="n">
        <v>0</v>
      </c>
      <c r="L10" s="4" t="n">
        <v>9</v>
      </c>
      <c r="M10" s="4" t="n"/>
      <c r="N10" s="4" t="n"/>
      <c r="O10" s="4" t="n">
        <v>288</v>
      </c>
    </row>
    <row r="12">
      <c r="A12" s="7" t="inlineStr">
        <is>
          <t>Notes</t>
        </is>
      </c>
    </row>
    <row r="13">
      <c r="A13" t="inlineStr">
        <is>
          <t>Rango de aceptación shown as a shaded band. Asterisk (*) markers: DO8 = 574, DO9 = 288. X-axis shows product and belonging Laboratorio.</t>
        </is>
      </c>
    </row>
    <row r="14">
      <c r="A14" t="inlineStr">
        <is>
          <t>Units: mOsm/kg. Markers: Lote 1 (orange), Lote 2 (green), estrella = Valor teórico estimado; línea punteada azul marino = Lágrima natural (300).</t>
        </is>
      </c>
    </row>
  </sheetData>
  <mergeCells count="2">
    <mergeCell ref="A13:I13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8" t="inlineStr">
        <is>
          <t>Osmolality Test Results — Excel-style chart</t>
        </is>
      </c>
    </row>
    <row r="2">
      <c r="A2" t="inlineStr">
        <is>
          <t>Eje X: Producto (DO1–DO9) + Laboratorio | Eje Y: Osmolalidad (mOsm/kg), paso 25 | Sombra: Rango de aceptación | Círculos: Lote 1 &amp; Lote 2 | Estrella: Valor teórico estimado | Línea punteada: Lágrima natural (300)</t>
        </is>
      </c>
    </row>
  </sheetData>
  <mergeCells count="1">
    <mergeCell ref="A2:H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2026-08-01T17:09:59Z</dcterms:created>
  <dcterms:modified xsi:type="dcterms:W3CDTF">2026-08-01T17:09:59Z</dcterms:modified>
</cp:coreProperties>
</file>